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dentsecpi-my.sharepoint.com/personal/diawil9725_students_ecpi_edu/Documents/Documents/"/>
    </mc:Choice>
  </mc:AlternateContent>
  <xr:revisionPtr revIDLastSave="0" documentId="8_{0493CEFA-E782-437A-8D9B-DDD11511BB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 Co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27" i="1"/>
  <c r="E22" i="1"/>
  <c r="E29" i="1" s="1"/>
</calcChain>
</file>

<file path=xl/sharedStrings.xml><?xml version="1.0" encoding="utf-8"?>
<sst xmlns="http://schemas.openxmlformats.org/spreadsheetml/2006/main" count="68" uniqueCount="68">
  <si>
    <t>B2B WEEKEND PROJECT - FINAL NETWORK EQUIPMENT COST</t>
  </si>
  <si>
    <t>Three Separate Medical Office Locations - HIPAA Compliant</t>
  </si>
  <si>
    <t>Updated for: 10 West laptops + 12 East laptops + 57 employees total</t>
  </si>
  <si>
    <t>Category</t>
  </si>
  <si>
    <t>Item Description</t>
  </si>
  <si>
    <t>Quantity</t>
  </si>
  <si>
    <t>Unit Price</t>
  </si>
  <si>
    <t>Total</t>
  </si>
  <si>
    <t>Justification</t>
  </si>
  <si>
    <t>ROUTERS</t>
  </si>
  <si>
    <t>Cisco ISR 4331 (3 locations)</t>
  </si>
  <si>
    <t>One per office - West, East, Accounting</t>
  </si>
  <si>
    <t>FIREWALLS</t>
  </si>
  <si>
    <t>Cisco ASA 5506-X with FirePOWER (NEW)</t>
  </si>
  <si>
    <t>One per office - HIPAA security perimeter</t>
  </si>
  <si>
    <t>SWITCHES</t>
  </si>
  <si>
    <t>Cisco 2960-X 24-port (West)</t>
  </si>
  <si>
    <t>Switch4 + Switch3 for 10 PCs + 10 laptops</t>
  </si>
  <si>
    <t>NO SWITCHES NEEDED (East)</t>
  </si>
  <si>
    <t>Server connects directly to router - saves cost!</t>
  </si>
  <si>
    <t>Cisco 3560-CX 24-port L3 (Acct)</t>
  </si>
  <si>
    <t>AcctSw1 + AcctSw2 for 35 employees + VLANs</t>
  </si>
  <si>
    <t>WIRELESS</t>
  </si>
  <si>
    <t>Linksys WRT300N Wireless Routers</t>
  </si>
  <si>
    <t>One per office - handles 10-12 laptops each</t>
  </si>
  <si>
    <t>TP-Link EAP225 Access Points</t>
  </si>
  <si>
    <t>Extended coverage for laptops + patient devices</t>
  </si>
  <si>
    <t>SERVERS</t>
  </si>
  <si>
    <t>Dell PowerEdge T140 (East)</t>
  </si>
  <si>
    <t>File server - connects direct to router</t>
  </si>
  <si>
    <t>Dell PowerEdge T140 (Accounting)</t>
  </si>
  <si>
    <t>Patient records server - VLAN 20 isolated</t>
  </si>
  <si>
    <t>LAPTOPS</t>
  </si>
  <si>
    <t>HP ProBook 450 G9 (West Doctors)</t>
  </si>
  <si>
    <t>West office - 10 doctor laptops with wireless</t>
  </si>
  <si>
    <t>HP ProBook 450 G9 (East Doctors)</t>
  </si>
  <si>
    <t>East office - 12 doctor laptops with wireless</t>
  </si>
  <si>
    <t>BACKUP</t>
  </si>
  <si>
    <t>APC Back-UPS 850VA (7 units)</t>
  </si>
  <si>
    <t>UPS for routers, firewalls, switches, servers</t>
  </si>
  <si>
    <t>Secondary ISP (East Office)</t>
  </si>
  <si>
    <t>Monthly cost only ($100/mo) - redundancy</t>
  </si>
  <si>
    <t>CABLING</t>
  </si>
  <si>
    <t>Cat6 Ethernet Cables (bulk)</t>
  </si>
  <si>
    <t>Bulk purchase for all connections</t>
  </si>
  <si>
    <t>Cable Management Kit</t>
  </si>
  <si>
    <t>Organizers, ties, labels</t>
  </si>
  <si>
    <t>EQUIPMENT SUBTOTAL</t>
  </si>
  <si>
    <t>RECURRING MONTHLY COSTS</t>
  </si>
  <si>
    <t>Primary ISP (3 offices)</t>
  </si>
  <si>
    <t>Business internet @ $100/office</t>
  </si>
  <si>
    <t>Secondary ISP (East only)</t>
  </si>
  <si>
    <t>Redundant connection for patients</t>
  </si>
  <si>
    <t>TOTAL MONTHLY</t>
  </si>
  <si>
    <t>TOTAL ONE-TIME INVESTMENT</t>
  </si>
  <si>
    <t>UPDATED EQUIPMENT SUMMARY</t>
  </si>
  <si>
    <t>Previous Cost (no laptops)</t>
  </si>
  <si>
    <t>Added: 22 Laptops @ $650</t>
  </si>
  <si>
    <t>UPDATED TOTAL COST</t>
  </si>
  <si>
    <t>KEY UPDATES FOR LAPTOP EXPANSION</t>
  </si>
  <si>
    <t>✓ Added 10 HP ProBook laptops for West Office doctors ($6,500)</t>
  </si>
  <si>
    <t>✓ Added 12 HP ProBook laptops for East Office doctors ($7,800)</t>
  </si>
  <si>
    <t>✓ East Office expanded from /27 to /26 subnet (62 IPs vs 30) for growth</t>
  </si>
  <si>
    <t>✓ No additional switches needed - East server connects directly to router</t>
  </si>
  <si>
    <t>✓ Existing wireless infrastructure (3 WRT300N + 3 APs) handles all 22 laptops</t>
  </si>
  <si>
    <t>✓ All laptops have wireless modules built-in (no additional wireless cards needed)</t>
  </si>
  <si>
    <t>HIPAA COMPLIANCE MAINTAINED ✓</t>
  </si>
  <si>
    <t>All equipment supports: Firewalls with IPS/IDS, encrypted VPN tunnels, VLAN segmentation, ACLs on patient data, wireless security (WPA2), and laptop encryption. Total supported users: 57 employees + 22 laptops + patient devices = 100+ users across 3 sites.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</si>
</sst>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1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2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u/>
      <sz val="11"/>
      <name val="Calibri"/>
    </font>
    <font>
      <b/>
      <sz val="14"/>
      <name val="Calibri"/>
    </font>
    <font>
      <b/>
      <u/>
      <sz val="12"/>
      <name val="Calibri"/>
    </font>
    <font>
      <b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5" fillId="0" borderId="1" xfId="0" applyNumberFormat="1" applyFont="1" applyBorder="1"/>
    <xf numFmtId="0" fontId="0" fillId="0" borderId="1" xfId="0" applyBorder="1" applyAlignment="1">
      <alignment vertical="top" wrapText="1"/>
    </xf>
    <xf numFmtId="0" fontId="6" fillId="0" borderId="0" xfId="0" applyFont="1"/>
    <xf numFmtId="164" fontId="6" fillId="4" borderId="0" xfId="0" applyNumberFormat="1" applyFont="1" applyFill="1"/>
    <xf numFmtId="0" fontId="7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5" fillId="0" borderId="0" xfId="0" applyFont="1"/>
    <xf numFmtId="164" fontId="5" fillId="4" borderId="0" xfId="0" applyNumberFormat="1" applyFont="1" applyFill="1"/>
    <xf numFmtId="0" fontId="8" fillId="0" borderId="0" xfId="0" applyFont="1"/>
    <xf numFmtId="164" fontId="8" fillId="5" borderId="0" xfId="0" applyNumberFormat="1" applyFont="1" applyFill="1"/>
    <xf numFmtId="0" fontId="9" fillId="0" borderId="0" xfId="0" applyFont="1"/>
    <xf numFmtId="164" fontId="5" fillId="0" borderId="0" xfId="0" applyNumberFormat="1" applyFont="1"/>
    <xf numFmtId="164" fontId="6" fillId="6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/>
    <xf numFmtId="0" fontId="9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sqref="A1:F1"/>
    </sheetView>
  </sheetViews>
  <sheetFormatPr defaultRowHeight="15" x14ac:dyDescent="0.25"/>
  <cols>
    <col min="1" max="1" width="18" customWidth="1"/>
    <col min="2" max="2" width="40" customWidth="1"/>
    <col min="3" max="3" width="10" customWidth="1"/>
    <col min="4" max="5" width="12" customWidth="1"/>
    <col min="6" max="6" width="50" customWidth="1"/>
  </cols>
  <sheetData>
    <row r="1" spans="1:6" ht="21" x14ac:dyDescent="0.35">
      <c r="A1" s="19" t="s">
        <v>0</v>
      </c>
      <c r="B1" s="20"/>
      <c r="C1" s="20"/>
      <c r="D1" s="20"/>
      <c r="E1" s="20"/>
      <c r="F1" s="20"/>
    </row>
    <row r="2" spans="1:6" ht="15.75" x14ac:dyDescent="0.25">
      <c r="A2" s="25" t="s">
        <v>1</v>
      </c>
      <c r="B2" s="20"/>
      <c r="C2" s="20"/>
      <c r="D2" s="20"/>
      <c r="E2" s="20"/>
      <c r="F2" s="20"/>
    </row>
    <row r="3" spans="1:6" x14ac:dyDescent="0.25">
      <c r="A3" s="24" t="s">
        <v>2</v>
      </c>
      <c r="B3" s="20"/>
      <c r="C3" s="20"/>
      <c r="D3" s="20"/>
      <c r="E3" s="20"/>
      <c r="F3" s="20"/>
    </row>
    <row r="5" spans="1:6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5">
      <c r="A6" s="2" t="s">
        <v>9</v>
      </c>
      <c r="B6" s="3" t="s">
        <v>10</v>
      </c>
      <c r="C6" s="3">
        <v>3</v>
      </c>
      <c r="D6" s="4">
        <v>2500</v>
      </c>
      <c r="E6" s="5">
        <v>7500</v>
      </c>
      <c r="F6" s="6" t="s">
        <v>11</v>
      </c>
    </row>
    <row r="7" spans="1:6" x14ac:dyDescent="0.25">
      <c r="A7" s="2" t="s">
        <v>12</v>
      </c>
      <c r="B7" s="3" t="s">
        <v>13</v>
      </c>
      <c r="C7" s="3">
        <v>3</v>
      </c>
      <c r="D7" s="4">
        <v>1200</v>
      </c>
      <c r="E7" s="5">
        <v>3600</v>
      </c>
      <c r="F7" s="6" t="s">
        <v>14</v>
      </c>
    </row>
    <row r="8" spans="1:6" x14ac:dyDescent="0.25">
      <c r="A8" s="2" t="s">
        <v>15</v>
      </c>
      <c r="B8" s="3" t="s">
        <v>16</v>
      </c>
      <c r="C8" s="3">
        <v>2</v>
      </c>
      <c r="D8" s="4">
        <v>1500</v>
      </c>
      <c r="E8" s="5">
        <v>3000</v>
      </c>
      <c r="F8" s="6" t="s">
        <v>17</v>
      </c>
    </row>
    <row r="9" spans="1:6" x14ac:dyDescent="0.25">
      <c r="A9" s="3"/>
      <c r="B9" s="3" t="s">
        <v>18</v>
      </c>
      <c r="C9" s="3">
        <v>0</v>
      </c>
      <c r="D9" s="4">
        <v>0</v>
      </c>
      <c r="E9" s="5">
        <v>0</v>
      </c>
      <c r="F9" s="6" t="s">
        <v>19</v>
      </c>
    </row>
    <row r="10" spans="1:6" x14ac:dyDescent="0.25">
      <c r="A10" s="3"/>
      <c r="B10" s="3" t="s">
        <v>20</v>
      </c>
      <c r="C10" s="3">
        <v>2</v>
      </c>
      <c r="D10" s="4">
        <v>1800</v>
      </c>
      <c r="E10" s="5">
        <v>3600</v>
      </c>
      <c r="F10" s="6" t="s">
        <v>21</v>
      </c>
    </row>
    <row r="11" spans="1:6" x14ac:dyDescent="0.25">
      <c r="A11" s="2" t="s">
        <v>22</v>
      </c>
      <c r="B11" s="3" t="s">
        <v>23</v>
      </c>
      <c r="C11" s="3">
        <v>3</v>
      </c>
      <c r="D11" s="4">
        <v>120</v>
      </c>
      <c r="E11" s="5">
        <v>360</v>
      </c>
      <c r="F11" s="6" t="s">
        <v>24</v>
      </c>
    </row>
    <row r="12" spans="1:6" x14ac:dyDescent="0.25">
      <c r="A12" s="3"/>
      <c r="B12" s="3" t="s">
        <v>25</v>
      </c>
      <c r="C12" s="3">
        <v>3</v>
      </c>
      <c r="D12" s="4">
        <v>60</v>
      </c>
      <c r="E12" s="5">
        <v>180</v>
      </c>
      <c r="F12" s="6" t="s">
        <v>26</v>
      </c>
    </row>
    <row r="13" spans="1:6" x14ac:dyDescent="0.25">
      <c r="A13" s="2" t="s">
        <v>27</v>
      </c>
      <c r="B13" s="3" t="s">
        <v>28</v>
      </c>
      <c r="C13" s="3">
        <v>1</v>
      </c>
      <c r="D13" s="4">
        <v>1000</v>
      </c>
      <c r="E13" s="5">
        <v>1000</v>
      </c>
      <c r="F13" s="6" t="s">
        <v>29</v>
      </c>
    </row>
    <row r="14" spans="1:6" x14ac:dyDescent="0.25">
      <c r="A14" s="3"/>
      <c r="B14" s="3" t="s">
        <v>30</v>
      </c>
      <c r="C14" s="3">
        <v>1</v>
      </c>
      <c r="D14" s="4">
        <v>1000</v>
      </c>
      <c r="E14" s="5">
        <v>1000</v>
      </c>
      <c r="F14" s="6" t="s">
        <v>31</v>
      </c>
    </row>
    <row r="15" spans="1:6" x14ac:dyDescent="0.25">
      <c r="A15" s="2" t="s">
        <v>32</v>
      </c>
      <c r="B15" s="3" t="s">
        <v>33</v>
      </c>
      <c r="C15" s="3">
        <v>10</v>
      </c>
      <c r="D15" s="4">
        <v>650</v>
      </c>
      <c r="E15" s="5">
        <v>6500</v>
      </c>
      <c r="F15" s="6" t="s">
        <v>34</v>
      </c>
    </row>
    <row r="16" spans="1:6" x14ac:dyDescent="0.25">
      <c r="A16" s="3"/>
      <c r="B16" s="3" t="s">
        <v>35</v>
      </c>
      <c r="C16" s="3">
        <v>12</v>
      </c>
      <c r="D16" s="4">
        <v>650</v>
      </c>
      <c r="E16" s="5">
        <v>7800</v>
      </c>
      <c r="F16" s="6" t="s">
        <v>36</v>
      </c>
    </row>
    <row r="17" spans="1:6" x14ac:dyDescent="0.25">
      <c r="A17" s="2" t="s">
        <v>37</v>
      </c>
      <c r="B17" s="3" t="s">
        <v>38</v>
      </c>
      <c r="C17" s="3">
        <v>7</v>
      </c>
      <c r="D17" s="4">
        <v>150</v>
      </c>
      <c r="E17" s="5">
        <v>1050</v>
      </c>
      <c r="F17" s="6" t="s">
        <v>39</v>
      </c>
    </row>
    <row r="18" spans="1:6" x14ac:dyDescent="0.25">
      <c r="A18" s="3"/>
      <c r="B18" s="3" t="s">
        <v>40</v>
      </c>
      <c r="C18" s="3">
        <v>1</v>
      </c>
      <c r="D18" s="4">
        <v>0</v>
      </c>
      <c r="E18" s="5">
        <v>0</v>
      </c>
      <c r="F18" s="6" t="s">
        <v>41</v>
      </c>
    </row>
    <row r="19" spans="1:6" x14ac:dyDescent="0.25">
      <c r="A19" s="2" t="s">
        <v>42</v>
      </c>
      <c r="B19" s="3" t="s">
        <v>43</v>
      </c>
      <c r="C19" s="3">
        <v>1</v>
      </c>
      <c r="D19" s="4">
        <v>500</v>
      </c>
      <c r="E19" s="5">
        <v>500</v>
      </c>
      <c r="F19" s="6" t="s">
        <v>44</v>
      </c>
    </row>
    <row r="20" spans="1:6" x14ac:dyDescent="0.25">
      <c r="A20" s="3"/>
      <c r="B20" s="3" t="s">
        <v>45</v>
      </c>
      <c r="C20" s="3">
        <v>1</v>
      </c>
      <c r="D20" s="4">
        <v>200</v>
      </c>
      <c r="E20" s="5">
        <v>200</v>
      </c>
      <c r="F20" s="6" t="s">
        <v>46</v>
      </c>
    </row>
    <row r="22" spans="1:6" ht="15.75" x14ac:dyDescent="0.25">
      <c r="A22" s="7" t="s">
        <v>47</v>
      </c>
      <c r="E22" s="8">
        <f>SUM(E6:E20)</f>
        <v>36290</v>
      </c>
    </row>
    <row r="24" spans="1:6" x14ac:dyDescent="0.25">
      <c r="A24" s="9" t="s">
        <v>48</v>
      </c>
    </row>
    <row r="25" spans="1:6" x14ac:dyDescent="0.25">
      <c r="B25" t="s">
        <v>49</v>
      </c>
      <c r="C25">
        <v>3</v>
      </c>
      <c r="D25" s="10">
        <v>100</v>
      </c>
      <c r="E25" s="10">
        <v>300</v>
      </c>
      <c r="F25" s="11" t="s">
        <v>50</v>
      </c>
    </row>
    <row r="26" spans="1:6" x14ac:dyDescent="0.25">
      <c r="B26" t="s">
        <v>51</v>
      </c>
      <c r="C26">
        <v>1</v>
      </c>
      <c r="D26" s="10">
        <v>100</v>
      </c>
      <c r="E26" s="10">
        <v>100</v>
      </c>
      <c r="F26" s="11" t="s">
        <v>52</v>
      </c>
    </row>
    <row r="27" spans="1:6" x14ac:dyDescent="0.25">
      <c r="A27" s="12" t="s">
        <v>53</v>
      </c>
      <c r="E27" s="13">
        <f>SUM(E25:E26)</f>
        <v>400</v>
      </c>
    </row>
    <row r="29" spans="1:6" ht="18.75" x14ac:dyDescent="0.3">
      <c r="A29" s="14" t="s">
        <v>54</v>
      </c>
      <c r="E29" s="15">
        <f>E22</f>
        <v>36290</v>
      </c>
    </row>
    <row r="31" spans="1:6" ht="15.75" x14ac:dyDescent="0.25">
      <c r="A31" s="16" t="s">
        <v>55</v>
      </c>
    </row>
    <row r="32" spans="1:6" x14ac:dyDescent="0.25">
      <c r="A32" s="12" t="s">
        <v>56</v>
      </c>
      <c r="E32" s="17">
        <v>27490</v>
      </c>
    </row>
    <row r="33" spans="1:6" x14ac:dyDescent="0.25">
      <c r="A33" s="12" t="s">
        <v>57</v>
      </c>
      <c r="E33" s="17">
        <v>14300</v>
      </c>
    </row>
    <row r="34" spans="1:6" ht="15.75" x14ac:dyDescent="0.25">
      <c r="A34" s="7" t="s">
        <v>58</v>
      </c>
      <c r="E34" s="18">
        <f>E32+E33</f>
        <v>41790</v>
      </c>
    </row>
    <row r="37" spans="1:6" ht="15.75" x14ac:dyDescent="0.25">
      <c r="A37" s="21" t="s">
        <v>59</v>
      </c>
      <c r="B37" s="20"/>
      <c r="C37" s="20"/>
      <c r="D37" s="20"/>
      <c r="E37" s="20"/>
      <c r="F37" s="20"/>
    </row>
    <row r="38" spans="1:6" x14ac:dyDescent="0.25">
      <c r="A38" s="23" t="s">
        <v>60</v>
      </c>
      <c r="B38" s="20"/>
      <c r="C38" s="20"/>
      <c r="D38" s="20"/>
      <c r="E38" s="20"/>
      <c r="F38" s="20"/>
    </row>
    <row r="39" spans="1:6" x14ac:dyDescent="0.25">
      <c r="A39" s="23" t="s">
        <v>61</v>
      </c>
      <c r="B39" s="20"/>
      <c r="C39" s="20"/>
      <c r="D39" s="20"/>
      <c r="E39" s="20"/>
      <c r="F39" s="20"/>
    </row>
    <row r="40" spans="1:6" x14ac:dyDescent="0.25">
      <c r="A40" s="23" t="s">
        <v>62</v>
      </c>
      <c r="B40" s="20"/>
      <c r="C40" s="20"/>
      <c r="D40" s="20"/>
      <c r="E40" s="20"/>
      <c r="F40" s="20"/>
    </row>
    <row r="41" spans="1:6" x14ac:dyDescent="0.25">
      <c r="A41" s="23" t="s">
        <v>63</v>
      </c>
      <c r="B41" s="20"/>
      <c r="C41" s="20"/>
      <c r="D41" s="20"/>
      <c r="E41" s="20"/>
      <c r="F41" s="20"/>
    </row>
    <row r="42" spans="1:6" x14ac:dyDescent="0.25">
      <c r="A42" s="23" t="s">
        <v>64</v>
      </c>
      <c r="B42" s="20"/>
      <c r="C42" s="20"/>
      <c r="D42" s="20"/>
      <c r="E42" s="20"/>
      <c r="F42" s="20"/>
    </row>
    <row r="43" spans="1:6" x14ac:dyDescent="0.25">
      <c r="A43" s="23" t="s">
        <v>65</v>
      </c>
      <c r="B43" s="20"/>
      <c r="C43" s="20"/>
      <c r="D43" s="20"/>
      <c r="E43" s="20"/>
      <c r="F43" s="20"/>
    </row>
    <row r="45" spans="1:6" x14ac:dyDescent="0.25">
      <c r="A45" s="22" t="s">
        <v>66</v>
      </c>
      <c r="B45" s="20"/>
      <c r="C45" s="20"/>
      <c r="D45" s="20"/>
      <c r="E45" s="20"/>
      <c r="F45" s="20"/>
    </row>
    <row r="46" spans="1:6" x14ac:dyDescent="0.25">
      <c r="A46" s="23" t="s">
        <v>67</v>
      </c>
      <c r="B46" s="20"/>
      <c r="C46" s="20"/>
      <c r="D46" s="20"/>
      <c r="E46" s="20"/>
      <c r="F46" s="20"/>
    </row>
  </sheetData>
  <mergeCells count="12">
    <mergeCell ref="A46:F46"/>
    <mergeCell ref="A1:F1"/>
    <mergeCell ref="A37:F37"/>
    <mergeCell ref="A45:F45"/>
    <mergeCell ref="A40:F40"/>
    <mergeCell ref="A3:F3"/>
    <mergeCell ref="A39:F39"/>
    <mergeCell ref="A43:F43"/>
    <mergeCell ref="A38:F38"/>
    <mergeCell ref="A2:F2"/>
    <mergeCell ref="A41:F41"/>
    <mergeCell ref="A42:F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NV-Williams, Diamond (Northern Virginia)</cp:lastModifiedBy>
  <cp:revision/>
  <dcterms:created xsi:type="dcterms:W3CDTF">2026-01-24T03:21:43Z</dcterms:created>
  <dcterms:modified xsi:type="dcterms:W3CDTF">2026-05-28T21:45:40Z</dcterms:modified>
  <cp:category/>
  <cp:contentStatus/>
</cp:coreProperties>
</file>